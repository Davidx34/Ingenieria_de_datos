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4cf132864bd48/Documents/"/>
    </mc:Choice>
  </mc:AlternateContent>
  <xr:revisionPtr revIDLastSave="83" documentId="8_{C7DAE582-CEE2-46B2-A944-360F030EC80C}" xr6:coauthVersionLast="47" xr6:coauthVersionMax="47" xr10:uidLastSave="{9B48750E-B308-47B5-8214-CF77D895A4FE}"/>
  <bookViews>
    <workbookView xWindow="-110" yWindow="-110" windowWidth="22780" windowHeight="14540" activeTab="4" xr2:uid="{D9348363-0F3E-4BF0-8FCD-DA4BC59F51C1}"/>
  </bookViews>
  <sheets>
    <sheet name="Inventario" sheetId="2" r:id="rId1"/>
    <sheet name="Ventas" sheetId="1" r:id="rId2"/>
    <sheet name="Compras" sheetId="4" r:id="rId3"/>
    <sheet name="Clientes" sheetId="3" r:id="rId4"/>
    <sheet name="Emplead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H3" i="4"/>
  <c r="H4" i="4"/>
  <c r="H5" i="4"/>
  <c r="H6" i="4"/>
  <c r="H7" i="4"/>
  <c r="H8" i="4"/>
  <c r="H9" i="4"/>
  <c r="H10" i="4"/>
  <c r="H11" i="4"/>
  <c r="H12" i="4"/>
  <c r="C3" i="4"/>
  <c r="C4" i="4"/>
  <c r="C5" i="4"/>
  <c r="C6" i="4"/>
  <c r="C7" i="4"/>
  <c r="C8" i="4"/>
  <c r="C9" i="4"/>
  <c r="C10" i="4"/>
  <c r="C11" i="4"/>
  <c r="C12" i="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<sst xmlns="http://schemas.openxmlformats.org/spreadsheetml/2006/main" count="176" uniqueCount="110">
  <si>
    <t>Comprador</t>
  </si>
  <si>
    <t>Producto</t>
  </si>
  <si>
    <t>Unidades</t>
  </si>
  <si>
    <t>Valor</t>
  </si>
  <si>
    <t>Precio</t>
  </si>
  <si>
    <t>Sara</t>
  </si>
  <si>
    <t>Camiseta de Noruega de Haaland</t>
  </si>
  <si>
    <t>Alison</t>
  </si>
  <si>
    <t>Bowl Vegetariano</t>
  </si>
  <si>
    <t>Jorge</t>
  </si>
  <si>
    <t>Camiseta de Colombia de James</t>
  </si>
  <si>
    <t>Juan Esteban</t>
  </si>
  <si>
    <t>Baguette</t>
  </si>
  <si>
    <t>Menu pollo pesto</t>
  </si>
  <si>
    <t>Juan Felipe</t>
  </si>
  <si>
    <t>Almuerzo dulce</t>
  </si>
  <si>
    <t>Croissant</t>
  </si>
  <si>
    <t>Camiseta de Millonarios de Falcao</t>
  </si>
  <si>
    <t>Pan de Chocolate</t>
  </si>
  <si>
    <t>Ronda</t>
  </si>
  <si>
    <t>Descuento</t>
  </si>
  <si>
    <t>Camiseta de Argentina de Messi</t>
  </si>
  <si>
    <t>Camiseta de Portugal de Ronaldo</t>
  </si>
  <si>
    <t>Perdida mercado</t>
  </si>
  <si>
    <t>Categoria</t>
  </si>
  <si>
    <t>Camisetas</t>
  </si>
  <si>
    <t>Almuerzos</t>
  </si>
  <si>
    <t>Panaderia</t>
  </si>
  <si>
    <t>x</t>
  </si>
  <si>
    <t>Valor de venta</t>
  </si>
  <si>
    <t>Valor del producto</t>
  </si>
  <si>
    <t>Nombre del Producto</t>
  </si>
  <si>
    <t>Unidades vendidas</t>
  </si>
  <si>
    <t>VEN_001</t>
  </si>
  <si>
    <t>VEN_002</t>
  </si>
  <si>
    <t>VEN_003</t>
  </si>
  <si>
    <t>VEN_004</t>
  </si>
  <si>
    <t>VEN_005</t>
  </si>
  <si>
    <t>VEN_006</t>
  </si>
  <si>
    <t>VEN_007</t>
  </si>
  <si>
    <t>VEN_008</t>
  </si>
  <si>
    <t>VEN_009</t>
  </si>
  <si>
    <t>VEN_010</t>
  </si>
  <si>
    <t>VEN_011</t>
  </si>
  <si>
    <t>VEN_012</t>
  </si>
  <si>
    <t>VEN_013</t>
  </si>
  <si>
    <t>VEN_014</t>
  </si>
  <si>
    <t>VEN_015</t>
  </si>
  <si>
    <t>VEN_016</t>
  </si>
  <si>
    <t>ID_Producto</t>
  </si>
  <si>
    <t>ID_Venta</t>
  </si>
  <si>
    <t>ID_Categoria</t>
  </si>
  <si>
    <t>CAT-01-01</t>
  </si>
  <si>
    <t>CAT-01</t>
  </si>
  <si>
    <t>CAT-01-02</t>
  </si>
  <si>
    <t>CAT-01-03</t>
  </si>
  <si>
    <t>CAT-01-04</t>
  </si>
  <si>
    <t>CAT-01-05</t>
  </si>
  <si>
    <t>CAT-02-01</t>
  </si>
  <si>
    <t>CAT-02</t>
  </si>
  <si>
    <t>CAT-02-02</t>
  </si>
  <si>
    <t>CAT-02-03</t>
  </si>
  <si>
    <t>CAT-03-01</t>
  </si>
  <si>
    <t>CAT-03</t>
  </si>
  <si>
    <t>CAT-03-02</t>
  </si>
  <si>
    <t>Pan de chocolate</t>
  </si>
  <si>
    <t>CAT-03-03</t>
  </si>
  <si>
    <t>ID_Venta Producto</t>
  </si>
  <si>
    <t>Nombre_del_empleado</t>
  </si>
  <si>
    <t>EMP-001</t>
  </si>
  <si>
    <t>EMP-002</t>
  </si>
  <si>
    <t>Miguel</t>
  </si>
  <si>
    <t>EMP-003</t>
  </si>
  <si>
    <t>Jhonatan</t>
  </si>
  <si>
    <t>EMP-004</t>
  </si>
  <si>
    <t>Nombre_del_cliente</t>
  </si>
  <si>
    <t>CLI-01</t>
  </si>
  <si>
    <t>CLI-02</t>
  </si>
  <si>
    <t>CLI-03</t>
  </si>
  <si>
    <t>CLI-04</t>
  </si>
  <si>
    <t xml:space="preserve">Compras </t>
  </si>
  <si>
    <t>Antoine</t>
  </si>
  <si>
    <t>Limon</t>
  </si>
  <si>
    <t>Papaya</t>
  </si>
  <si>
    <t>Pitaya</t>
  </si>
  <si>
    <t>Bananas</t>
  </si>
  <si>
    <t>David</t>
  </si>
  <si>
    <t>Labiales</t>
  </si>
  <si>
    <t>Galletas Rojas</t>
  </si>
  <si>
    <t>Arandano</t>
  </si>
  <si>
    <t>Piña</t>
  </si>
  <si>
    <t>Paquete cosmetico</t>
  </si>
  <si>
    <t>Costo</t>
  </si>
  <si>
    <t>Ventas</t>
  </si>
  <si>
    <t>Unidades restantes</t>
  </si>
  <si>
    <t>ID_Cliente</t>
  </si>
  <si>
    <t>ID_Empleado</t>
  </si>
  <si>
    <t>Unidades_Compradas</t>
  </si>
  <si>
    <t>CLI-05</t>
  </si>
  <si>
    <t>Ahorro por descuento</t>
  </si>
  <si>
    <t>COM_001</t>
  </si>
  <si>
    <t>COM_002</t>
  </si>
  <si>
    <t>COM_003</t>
  </si>
  <si>
    <t>COM_004</t>
  </si>
  <si>
    <t>COM_005</t>
  </si>
  <si>
    <t>COM_006</t>
  </si>
  <si>
    <t>COM_007</t>
  </si>
  <si>
    <t>COM_008</t>
  </si>
  <si>
    <t>COM_009</t>
  </si>
  <si>
    <t>COM_010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</si>
</sst>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;\(0.0%\);&quot;-&quot;"/>
    <numFmt numFmtId="166" formatCode="&quot;$&quot;#,##0;\(&quot;$&quot;#,##0\);&quot;-&quot;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7C7A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3" borderId="6" xfId="0" applyFill="1" applyBorder="1"/>
    <xf numFmtId="0" fontId="0" fillId="3" borderId="2" xfId="0" applyFill="1" applyBorder="1"/>
    <xf numFmtId="0" fontId="0" fillId="3" borderId="7" xfId="0" applyFill="1" applyBorder="1"/>
    <xf numFmtId="0" fontId="0" fillId="3" borderId="2" xfId="0" applyFont="1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7" xfId="0" applyFill="1" applyBorder="1"/>
    <xf numFmtId="165" fontId="0" fillId="0" borderId="1" xfId="0" applyNumberFormat="1" applyBorder="1"/>
    <xf numFmtId="165" fontId="0" fillId="0" borderId="10" xfId="0" applyNumberFormat="1" applyBorder="1"/>
    <xf numFmtId="166" fontId="0" fillId="0" borderId="1" xfId="0" applyNumberFormat="1" applyBorder="1"/>
    <xf numFmtId="166" fontId="0" fillId="0" borderId="3" xfId="0" applyNumberFormat="1" applyBorder="1"/>
    <xf numFmtId="166" fontId="0" fillId="0" borderId="10" xfId="0" applyNumberFormat="1" applyBorder="1"/>
    <xf numFmtId="166" fontId="0" fillId="0" borderId="9" xfId="0" applyNumberFormat="1" applyBorder="1"/>
  </cellXfs>
  <cellStyles count="1">
    <cellStyle name="Normal" xfId="0" builtinId="0"/>
  </cellStyles>
  <dxfs count="54">
    <dxf>
      <fill>
        <patternFill patternType="solid">
          <fgColor indexed="64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B5E6A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B5E6A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E817FD-A433-4B0B-AE0B-BAB8C18CD23A}" name="tblInventario" displayName="tblInventario" ref="A1:I12" totalsRowShown="0" headerRowDxfId="29" headerRowBorderDxfId="40" tableBorderDxfId="41" totalsRowBorderDxfId="39">
  <autoFilter ref="A1:I12" xr:uid="{82E817FD-A433-4B0B-AE0B-BAB8C18CD23A}"/>
  <tableColumns count="9">
    <tableColumn id="1" xr3:uid="{B3A7F088-ABA4-4226-A984-D9AA94D0D450}" name="Producto" dataDxfId="38"/>
    <tableColumn id="2" xr3:uid="{6DBC6BAD-CA9B-46BB-9082-3C660EC739E6}" name="ID_Producto" dataDxfId="37"/>
    <tableColumn id="3" xr3:uid="{DC0FFAEE-BE1C-424E-A424-7B469680A3B2}" name="Categoria" dataDxfId="36"/>
    <tableColumn id="4" xr3:uid="{569D1074-B85F-45DC-A725-76717027A0EA}" name="ID_Categoria" dataDxfId="35"/>
    <tableColumn id="5" xr3:uid="{E5739C07-CBCA-49DB-B138-3784C92536A6}" name="Costo" dataDxfId="34"/>
    <tableColumn id="6" xr3:uid="{60A8C496-B7E1-47DF-8A0D-6D7CF280AB3E}" name="Unidades" dataDxfId="33"/>
    <tableColumn id="7" xr3:uid="{04613B9E-5B49-467A-BB1E-EF305B4EFE2B}" name="Precio" dataDxfId="32"/>
    <tableColumn id="8" xr3:uid="{1006175F-8B8F-44F2-9E9E-82E6CAE194A8}" name="Ventas" dataDxfId="31"/>
    <tableColumn id="9" xr3:uid="{94C200CD-A708-4D8E-B2FA-6F95294493EC}" name="Unidades restantes" dataDxfId="30">
      <calculatedColumnFormula>F2-H2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891396-213B-4597-ADD3-3752C4C36406}" name="tblVentas" displayName="tblVentas" ref="A1:L17" totalsRowShown="0" headerRowDxfId="13" headerRowBorderDxfId="27" tableBorderDxfId="28" totalsRowBorderDxfId="26">
  <autoFilter ref="A1:L17" xr:uid="{88891396-213B-4597-ADD3-3752C4C36406}"/>
  <tableColumns count="12">
    <tableColumn id="1" xr3:uid="{538EA30F-C12D-4262-9856-AC79D5B99D57}" name="ID_Venta" dataDxfId="25"/>
    <tableColumn id="2" xr3:uid="{8C1F54C9-C043-442C-AFC5-A22C3C2FC111}" name="Ronda" dataDxfId="24"/>
    <tableColumn id="3" xr3:uid="{0F9E0D30-A3A2-44E3-867E-C89492804478}" name="Descuento" dataDxfId="23"/>
    <tableColumn id="4" xr3:uid="{4A5B07B3-6BE9-468E-A48E-1796410D5E8A}" name="Comprador" dataDxfId="22"/>
    <tableColumn id="5" xr3:uid="{19B229F1-D815-4F2C-B303-5DF0185A6E81}" name="ID_Cliente" dataDxfId="21">
      <calculatedColumnFormula>_xlfn.XLOOKUP(tblVentas[[#This Row],[Comprador]],tblClientes[Nombre_del_cliente],tblClientes[ID_Cliente])</calculatedColumnFormula>
    </tableColumn>
    <tableColumn id="6" xr3:uid="{11819379-F675-403E-8E34-92FC16BCD965}" name="Nombre del Producto" dataDxfId="20"/>
    <tableColumn id="7" xr3:uid="{228D414D-3B59-4310-8927-64E157BB6C50}" name="ID_Venta Producto" dataDxfId="19">
      <calculatedColumnFormula>tblVentas[[#This Row],[ID_Venta]]&amp;"-"&amp;_xlfn.XLOOKUP(tblVentas[[#This Row],[Nombre del Producto]],tblInventario[Producto],tblInventario[ID_Producto])</calculatedColumnFormula>
    </tableColumn>
    <tableColumn id="8" xr3:uid="{3B73B75E-7E97-4B4E-9B19-8B744EE8FF63}" name="Categoria" dataDxfId="18">
      <calculatedColumnFormula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calculatedColumnFormula>
    </tableColumn>
    <tableColumn id="9" xr3:uid="{1C67CF23-8F7A-4B6D-A33F-F1015F34C9A1}" name="Unidades vendidas" dataDxfId="17"/>
    <tableColumn id="10" xr3:uid="{E6A8374D-5AAE-402F-B8F7-560C6A7167A1}" name="Valor del producto" dataDxfId="16">
      <calculatedColumnFormula>_xlfn.XLOOKUP(tblVentas[[#This Row],[Nombre del Producto]],tblInventario[Producto],tblInventario[Precio])</calculatedColumnFormula>
    </tableColumn>
    <tableColumn id="11" xr3:uid="{8ED2244B-E25E-4E48-AC03-6EB314F63A3A}" name="Valor de venta" dataDxfId="15">
      <calculatedColumnFormula>tblVentas[[#This Row],[Unidades vendidas]]*tblVentas[[#This Row],[Valor del producto]]*(1-tblVentas[[#This Row],[Descuento]])</calculatedColumnFormula>
    </tableColumn>
    <tableColumn id="12" xr3:uid="{9381F749-F6F3-4FBE-91D3-5D111ED712DC}" name="Perdida mercado" dataDxfId="14">
      <calculatedColumnFormula>tblVentas[[#This Row],[Unidades vendidas]]*tblVentas[[#This Row],[Valor del producto]]-tblVentas[[#This Row],[Valor de venta]]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9A802A-FE0C-41AD-8776-3C986652ED56}" name="tblCompras" displayName="tblCompras" ref="A2:I12" totalsRowShown="0" headerRowDxfId="0" headerRowBorderDxfId="11" tableBorderDxfId="12" totalsRowBorderDxfId="10">
  <autoFilter ref="A2:I12" xr:uid="{169A802A-FE0C-41AD-8776-3C986652ED56}"/>
  <tableColumns count="9">
    <tableColumn id="1" xr3:uid="{BF64D69F-D66A-4871-B816-43FAFEDA388E}" name="ID_Venta" dataDxfId="9"/>
    <tableColumn id="2" xr3:uid="{3E5D4986-3E40-43A1-8A3A-07BB346535BF}" name="Comprador" dataDxfId="8"/>
    <tableColumn id="3" xr3:uid="{E52FEDDA-9CD7-4DC3-9E17-D75ED3CDB3E3}" name="ID_Empleado" dataDxfId="7">
      <calculatedColumnFormula>_xlfn.XLOOKUP(tblCompras[[#This Row],[Comprador]],tblEmpleados[Nombre_del_empleado],tblEmpleados[ID_Empleado])</calculatedColumnFormula>
    </tableColumn>
    <tableColumn id="4" xr3:uid="{1458403D-5161-49C9-8573-A39F4D9FBBBA}" name="Producto" dataDxfId="6"/>
    <tableColumn id="5" xr3:uid="{E294B5EB-5CFC-4A16-A62B-C88A79A79829}" name="Unidades_Compradas" dataDxfId="5"/>
    <tableColumn id="6" xr3:uid="{720B073B-94A6-43EA-B7A3-03C2135D54BB}" name="Precio" dataDxfId="4"/>
    <tableColumn id="7" xr3:uid="{D584C96F-F6B4-4897-994F-86B7600E7933}" name="Descuento" dataDxfId="3"/>
    <tableColumn id="8" xr3:uid="{6DA07E99-C2A8-405D-A705-9EE0C5080893}" name="Valor" dataDxfId="2">
      <calculatedColumnFormula>tblCompras[[#This Row],[Unidades_Compradas]]*tblCompras[[#This Row],[Precio]]*(1-tblCompras[[#This Row],[Descuento]])</calculatedColumnFormula>
    </tableColumn>
    <tableColumn id="9" xr3:uid="{15CA526E-4549-4926-84E8-43D0189FA4B7}" name="Ahorro por descuento" dataDxfId="1">
      <calculatedColumnFormula>(tblCompras[[#This Row],[Unidades_Compradas]]*tblCompras[[#This Row],[Precio]])-tblCompras[[#This Row],[Valor]]</calculatedColumnFormula>
    </tableColumn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75B46-9BF9-44C7-9232-3926A801CDD8}" name="tblClientes" displayName="tblClientes" ref="A1:B6" totalsRowShown="0" headerRowDxfId="48" headerRowBorderDxfId="52" tableBorderDxfId="53" totalsRowBorderDxfId="51">
  <autoFilter ref="A1:B6" xr:uid="{92975B46-9BF9-44C7-9232-3926A801CDD8}"/>
  <tableColumns count="2">
    <tableColumn id="1" xr3:uid="{4770221F-0004-448F-8EA6-076353768E47}" name="Nombre_del_cliente" dataDxfId="50"/>
    <tableColumn id="2" xr3:uid="{E0526E15-FAD4-4F76-ADC4-B49814E03A6A}" name="ID_Cliente" dataDxfId="49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7AAB8C-71A2-44D2-AD96-09F677849CE7}" name="tblEmpleados" displayName="tblEmpleados" ref="A1:B5" totalsRowShown="0" headerRowDxfId="42" headerRowBorderDxfId="46" tableBorderDxfId="47" totalsRowBorderDxfId="45">
  <autoFilter ref="A1:B5" xr:uid="{937AAB8C-71A2-44D2-AD96-09F677849CE7}"/>
  <tableColumns count="2">
    <tableColumn id="1" xr3:uid="{9144CB95-5510-4C1B-AB8C-A5A2942984E8}" name="Nombre_del_empleado" dataDxfId="44"/>
    <tableColumn id="2" xr3:uid="{1D5240B0-D479-4EEC-A04F-A49DDF971411}" name="ID_Empleado" dataDxfId="43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51F60F-09AC-47D5-A76F-2039C0DE67F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66b6950-2d8f-427a-b172-e28f3eca272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09CF-B3CA-4ACA-8B56-44CDED8DCC15}">
  <dimension ref="A1:I12"/>
  <sheetViews>
    <sheetView workbookViewId="0">
      <pane ySplit="1" topLeftCell="A2" activePane="bottomLeft" state="frozen"/>
      <selection pane="bottomLeft" activeCell="E2" sqref="E2"/>
    </sheetView>
  </sheetViews>
  <sheetFormatPr baseColWidth="10" defaultRowHeight="14.5" x14ac:dyDescent="0.35"/>
  <cols>
    <col min="1" max="1" width="28.6328125" bestFit="1" customWidth="1"/>
    <col min="2" max="2" width="13" customWidth="1"/>
    <col min="4" max="4" width="13.453125" customWidth="1"/>
    <col min="9" max="9" width="19" customWidth="1"/>
  </cols>
  <sheetData>
    <row r="1" spans="1:9" x14ac:dyDescent="0.35">
      <c r="A1" s="14" t="s">
        <v>1</v>
      </c>
      <c r="B1" s="15" t="s">
        <v>49</v>
      </c>
      <c r="C1" s="15" t="s">
        <v>24</v>
      </c>
      <c r="D1" s="15" t="s">
        <v>51</v>
      </c>
      <c r="E1" s="15" t="s">
        <v>92</v>
      </c>
      <c r="F1" s="15" t="s">
        <v>2</v>
      </c>
      <c r="G1" s="15" t="s">
        <v>4</v>
      </c>
      <c r="H1" s="15" t="s">
        <v>93</v>
      </c>
      <c r="I1" s="16" t="s">
        <v>94</v>
      </c>
    </row>
    <row r="2" spans="1:9" x14ac:dyDescent="0.35">
      <c r="A2" s="5" t="s">
        <v>22</v>
      </c>
      <c r="B2" s="1" t="s">
        <v>52</v>
      </c>
      <c r="C2" s="1" t="s">
        <v>25</v>
      </c>
      <c r="D2" s="1" t="s">
        <v>53</v>
      </c>
      <c r="E2" s="23">
        <v>100000</v>
      </c>
      <c r="F2" s="1">
        <v>1</v>
      </c>
      <c r="G2" s="23">
        <v>200000</v>
      </c>
      <c r="H2" s="1">
        <v>1</v>
      </c>
      <c r="I2" s="6">
        <f>F2-H2</f>
        <v>0</v>
      </c>
    </row>
    <row r="3" spans="1:9" x14ac:dyDescent="0.35">
      <c r="A3" s="5" t="s">
        <v>21</v>
      </c>
      <c r="B3" s="1" t="s">
        <v>54</v>
      </c>
      <c r="C3" s="1" t="s">
        <v>25</v>
      </c>
      <c r="D3" s="1" t="s">
        <v>53</v>
      </c>
      <c r="E3" s="23">
        <v>100000</v>
      </c>
      <c r="F3" s="1">
        <v>1</v>
      </c>
      <c r="G3" s="23">
        <v>200000</v>
      </c>
      <c r="H3" s="1">
        <v>1</v>
      </c>
      <c r="I3" s="6">
        <f t="shared" ref="I3:I12" si="0">F3-H3</f>
        <v>0</v>
      </c>
    </row>
    <row r="4" spans="1:9" x14ac:dyDescent="0.35">
      <c r="A4" s="5" t="s">
        <v>10</v>
      </c>
      <c r="B4" s="1" t="s">
        <v>55</v>
      </c>
      <c r="C4" s="1" t="s">
        <v>25</v>
      </c>
      <c r="D4" s="1" t="s">
        <v>53</v>
      </c>
      <c r="E4" s="23">
        <v>100000</v>
      </c>
      <c r="F4" s="1">
        <v>1</v>
      </c>
      <c r="G4" s="23">
        <v>200000</v>
      </c>
      <c r="H4" s="1">
        <v>1</v>
      </c>
      <c r="I4" s="6">
        <f t="shared" si="0"/>
        <v>0</v>
      </c>
    </row>
    <row r="5" spans="1:9" x14ac:dyDescent="0.35">
      <c r="A5" s="5" t="s">
        <v>6</v>
      </c>
      <c r="B5" s="1" t="s">
        <v>56</v>
      </c>
      <c r="C5" s="1" t="s">
        <v>25</v>
      </c>
      <c r="D5" s="1" t="s">
        <v>53</v>
      </c>
      <c r="E5" s="23">
        <v>100000</v>
      </c>
      <c r="F5" s="1">
        <v>1</v>
      </c>
      <c r="G5" s="23">
        <v>200000</v>
      </c>
      <c r="H5" s="1">
        <v>1</v>
      </c>
      <c r="I5" s="6">
        <f t="shared" si="0"/>
        <v>0</v>
      </c>
    </row>
    <row r="6" spans="1:9" x14ac:dyDescent="0.35">
      <c r="A6" s="5" t="s">
        <v>17</v>
      </c>
      <c r="B6" s="1" t="s">
        <v>57</v>
      </c>
      <c r="C6" s="1" t="s">
        <v>25</v>
      </c>
      <c r="D6" s="1" t="s">
        <v>53</v>
      </c>
      <c r="E6" s="23">
        <v>100000</v>
      </c>
      <c r="F6" s="1">
        <v>1</v>
      </c>
      <c r="G6" s="23">
        <v>200000</v>
      </c>
      <c r="H6" s="1">
        <v>1</v>
      </c>
      <c r="I6" s="6">
        <f t="shared" si="0"/>
        <v>0</v>
      </c>
    </row>
    <row r="7" spans="1:9" x14ac:dyDescent="0.35">
      <c r="A7" s="5" t="s">
        <v>13</v>
      </c>
      <c r="B7" s="1" t="s">
        <v>58</v>
      </c>
      <c r="C7" s="1" t="s">
        <v>26</v>
      </c>
      <c r="D7" s="1" t="s">
        <v>59</v>
      </c>
      <c r="E7" s="23">
        <v>9000</v>
      </c>
      <c r="F7" s="1">
        <v>8</v>
      </c>
      <c r="G7" s="23">
        <v>18000</v>
      </c>
      <c r="H7" s="1">
        <v>5</v>
      </c>
      <c r="I7" s="6">
        <f t="shared" si="0"/>
        <v>3</v>
      </c>
    </row>
    <row r="8" spans="1:9" x14ac:dyDescent="0.35">
      <c r="A8" s="5" t="s">
        <v>8</v>
      </c>
      <c r="B8" s="1" t="s">
        <v>60</v>
      </c>
      <c r="C8" s="1" t="s">
        <v>26</v>
      </c>
      <c r="D8" s="1" t="s">
        <v>59</v>
      </c>
      <c r="E8" s="23">
        <v>9000</v>
      </c>
      <c r="F8" s="1">
        <v>8</v>
      </c>
      <c r="G8" s="23">
        <v>18000</v>
      </c>
      <c r="H8" s="1">
        <v>8</v>
      </c>
      <c r="I8" s="6">
        <f t="shared" si="0"/>
        <v>0</v>
      </c>
    </row>
    <row r="9" spans="1:9" x14ac:dyDescent="0.35">
      <c r="A9" s="5" t="s">
        <v>15</v>
      </c>
      <c r="B9" s="1" t="s">
        <v>61</v>
      </c>
      <c r="C9" s="1" t="s">
        <v>26</v>
      </c>
      <c r="D9" s="1" t="s">
        <v>59</v>
      </c>
      <c r="E9" s="23">
        <v>9000</v>
      </c>
      <c r="F9" s="1">
        <v>8</v>
      </c>
      <c r="G9" s="23">
        <v>18000</v>
      </c>
      <c r="H9" s="1">
        <v>3</v>
      </c>
      <c r="I9" s="6">
        <f t="shared" si="0"/>
        <v>5</v>
      </c>
    </row>
    <row r="10" spans="1:9" x14ac:dyDescent="0.35">
      <c r="A10" s="5" t="s">
        <v>12</v>
      </c>
      <c r="B10" s="1" t="s">
        <v>62</v>
      </c>
      <c r="C10" s="1" t="s">
        <v>27</v>
      </c>
      <c r="D10" s="1" t="s">
        <v>63</v>
      </c>
      <c r="E10" s="23">
        <v>1800</v>
      </c>
      <c r="F10" s="1">
        <v>5</v>
      </c>
      <c r="G10" s="23">
        <v>3600</v>
      </c>
      <c r="H10" s="1">
        <v>3</v>
      </c>
      <c r="I10" s="6">
        <f t="shared" si="0"/>
        <v>2</v>
      </c>
    </row>
    <row r="11" spans="1:9" x14ac:dyDescent="0.35">
      <c r="A11" s="5" t="s">
        <v>16</v>
      </c>
      <c r="B11" s="1" t="s">
        <v>64</v>
      </c>
      <c r="C11" s="1" t="s">
        <v>27</v>
      </c>
      <c r="D11" s="1" t="s">
        <v>63</v>
      </c>
      <c r="E11" s="23">
        <v>4500</v>
      </c>
      <c r="F11" s="1">
        <v>5</v>
      </c>
      <c r="G11" s="23">
        <v>9000</v>
      </c>
      <c r="H11" s="1">
        <v>4</v>
      </c>
      <c r="I11" s="6">
        <f t="shared" si="0"/>
        <v>1</v>
      </c>
    </row>
    <row r="12" spans="1:9" x14ac:dyDescent="0.35">
      <c r="A12" s="9" t="s">
        <v>65</v>
      </c>
      <c r="B12" s="13" t="s">
        <v>66</v>
      </c>
      <c r="C12" s="13" t="s">
        <v>27</v>
      </c>
      <c r="D12" s="13" t="s">
        <v>63</v>
      </c>
      <c r="E12" s="25">
        <v>5500</v>
      </c>
      <c r="F12" s="13">
        <v>5</v>
      </c>
      <c r="G12" s="25">
        <v>11000</v>
      </c>
      <c r="H12" s="13">
        <v>5</v>
      </c>
      <c r="I12" s="10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A6A7-CA8C-4D35-8AC8-D674ACB72B3F}">
  <dimension ref="A1:AH84"/>
  <sheetViews>
    <sheetView topLeftCell="G1" zoomScale="121" zoomScaleNormal="115" workbookViewId="0">
      <pane ySplit="1" topLeftCell="A2" activePane="bottomLeft" state="frozen"/>
      <selection pane="bottomLeft" activeCell="E2" sqref="E2"/>
    </sheetView>
  </sheetViews>
  <sheetFormatPr baseColWidth="10" defaultRowHeight="14.5" x14ac:dyDescent="0.35"/>
  <cols>
    <col min="3" max="3" width="11.453125" customWidth="1"/>
    <col min="4" max="4" width="11.81640625" customWidth="1"/>
    <col min="5" max="5" width="11.36328125" customWidth="1"/>
    <col min="6" max="6" width="28.6328125" bestFit="1" customWidth="1"/>
    <col min="7" max="7" width="28.6328125" customWidth="1"/>
    <col min="8" max="8" width="11.08984375" customWidth="1"/>
    <col min="9" max="9" width="18.08984375" customWidth="1"/>
    <col min="10" max="10" width="17.6328125" customWidth="1"/>
    <col min="11" max="11" width="14.1796875" customWidth="1"/>
    <col min="12" max="12" width="16.6328125" customWidth="1"/>
    <col min="13" max="13" width="23.6328125" bestFit="1" customWidth="1"/>
    <col min="14" max="14" width="8.81640625" bestFit="1" customWidth="1"/>
    <col min="16" max="16" width="10.08984375" bestFit="1" customWidth="1"/>
    <col min="17" max="17" width="13.453125" bestFit="1" customWidth="1"/>
    <col min="20" max="20" width="35.7265625" bestFit="1" customWidth="1"/>
  </cols>
  <sheetData>
    <row r="1" spans="1:12" x14ac:dyDescent="0.35">
      <c r="A1" s="14" t="s">
        <v>50</v>
      </c>
      <c r="B1" s="15" t="s">
        <v>19</v>
      </c>
      <c r="C1" s="15" t="s">
        <v>20</v>
      </c>
      <c r="D1" s="15" t="s">
        <v>0</v>
      </c>
      <c r="E1" s="15" t="s">
        <v>95</v>
      </c>
      <c r="F1" s="15" t="s">
        <v>31</v>
      </c>
      <c r="G1" s="15" t="s">
        <v>67</v>
      </c>
      <c r="H1" s="17" t="s">
        <v>24</v>
      </c>
      <c r="I1" s="15" t="s">
        <v>32</v>
      </c>
      <c r="J1" s="15" t="s">
        <v>30</v>
      </c>
      <c r="K1" s="15" t="s">
        <v>29</v>
      </c>
      <c r="L1" s="16" t="s">
        <v>23</v>
      </c>
    </row>
    <row r="2" spans="1:12" x14ac:dyDescent="0.35">
      <c r="A2" s="5" t="s">
        <v>33</v>
      </c>
      <c r="B2" s="1">
        <v>1</v>
      </c>
      <c r="C2" s="21">
        <v>0</v>
      </c>
      <c r="D2" s="1" t="s">
        <v>5</v>
      </c>
      <c r="E2" s="1" t="str">
        <f>_xlfn.XLOOKUP(tblVentas[[#This Row],[Comprador]],tblClientes[Nombre_del_cliente],tblClientes[ID_Cliente])</f>
        <v>CLI-02</v>
      </c>
      <c r="F2" s="1" t="s">
        <v>6</v>
      </c>
      <c r="G2" s="1" t="str">
        <f>tblVentas[[#This Row],[ID_Venta]]&amp;"-"&amp;_xlfn.XLOOKUP(tblVentas[[#This Row],[Nombre del Producto]],tblInventario[Producto],tblInventario[ID_Producto])</f>
        <v>VEN_001-CAT-01-04</v>
      </c>
      <c r="H2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Camisetas</v>
      </c>
      <c r="I2" s="1">
        <v>1</v>
      </c>
      <c r="J2" s="23">
        <f>_xlfn.XLOOKUP(tblVentas[[#This Row],[Nombre del Producto]],tblInventario[Producto],tblInventario[Precio])</f>
        <v>200000</v>
      </c>
      <c r="K2" s="23">
        <f>tblVentas[[#This Row],[Unidades vendidas]]*tblVentas[[#This Row],[Valor del producto]]*(1-tblVentas[[#This Row],[Descuento]])</f>
        <v>200000</v>
      </c>
      <c r="L2" s="24">
        <f>tblVentas[[#This Row],[Unidades vendidas]]*tblVentas[[#This Row],[Valor del producto]]-tblVentas[[#This Row],[Valor de venta]]</f>
        <v>0</v>
      </c>
    </row>
    <row r="3" spans="1:12" x14ac:dyDescent="0.35">
      <c r="A3" s="5" t="s">
        <v>34</v>
      </c>
      <c r="B3" s="1">
        <v>1</v>
      </c>
      <c r="C3" s="21">
        <v>0</v>
      </c>
      <c r="D3" s="1" t="s">
        <v>7</v>
      </c>
      <c r="E3" s="1" t="str">
        <f>_xlfn.XLOOKUP(tblVentas[[#This Row],[Comprador]],tblClientes[Nombre_del_cliente],tblClientes[ID_Cliente])</f>
        <v>CLI-03</v>
      </c>
      <c r="F3" s="1" t="s">
        <v>8</v>
      </c>
      <c r="G3" s="1" t="str">
        <f>tblVentas[[#This Row],[ID_Venta]]&amp;"-"&amp;_xlfn.XLOOKUP(tblVentas[[#This Row],[Nombre del Producto]],tblInventario[Producto],tblInventario[ID_Producto])</f>
        <v>VEN_002-CAT-02-02</v>
      </c>
      <c r="H3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Almuerzos</v>
      </c>
      <c r="I3" s="1">
        <v>2</v>
      </c>
      <c r="J3" s="23">
        <f>_xlfn.XLOOKUP(tblVentas[[#This Row],[Nombre del Producto]],tblInventario[Producto],tblInventario[Precio])</f>
        <v>18000</v>
      </c>
      <c r="K3" s="23">
        <f>tblVentas[[#This Row],[Unidades vendidas]]*tblVentas[[#This Row],[Valor del producto]]*(1-tblVentas[[#This Row],[Descuento]])</f>
        <v>36000</v>
      </c>
      <c r="L3" s="24">
        <f>tblVentas[[#This Row],[Unidades vendidas]]*tblVentas[[#This Row],[Valor del producto]]-tblVentas[[#This Row],[Valor de venta]]</f>
        <v>0</v>
      </c>
    </row>
    <row r="4" spans="1:12" x14ac:dyDescent="0.35">
      <c r="A4" s="5" t="s">
        <v>35</v>
      </c>
      <c r="B4" s="1">
        <v>1</v>
      </c>
      <c r="C4" s="21">
        <v>0</v>
      </c>
      <c r="D4" s="1" t="s">
        <v>9</v>
      </c>
      <c r="E4" s="1" t="str">
        <f>_xlfn.XLOOKUP(tblVentas[[#This Row],[Comprador]],tblClientes[Nombre_del_cliente],tblClientes[ID_Cliente])</f>
        <v>CLI-01</v>
      </c>
      <c r="F4" s="1" t="s">
        <v>10</v>
      </c>
      <c r="G4" s="1" t="str">
        <f>tblVentas[[#This Row],[ID_Venta]]&amp;"-"&amp;_xlfn.XLOOKUP(tblVentas[[#This Row],[Nombre del Producto]],tblInventario[Producto],tblInventario[ID_Producto])</f>
        <v>VEN_003-CAT-01-03</v>
      </c>
      <c r="H4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Camisetas</v>
      </c>
      <c r="I4" s="1">
        <v>1</v>
      </c>
      <c r="J4" s="23">
        <f>_xlfn.XLOOKUP(tblVentas[[#This Row],[Nombre del Producto]],tblInventario[Producto],tblInventario[Precio])</f>
        <v>200000</v>
      </c>
      <c r="K4" s="23">
        <f>tblVentas[[#This Row],[Unidades vendidas]]*tblVentas[[#This Row],[Valor del producto]]*(1-tblVentas[[#This Row],[Descuento]])</f>
        <v>200000</v>
      </c>
      <c r="L4" s="24">
        <f>tblVentas[[#This Row],[Unidades vendidas]]*tblVentas[[#This Row],[Valor del producto]]-tblVentas[[#This Row],[Valor de venta]]</f>
        <v>0</v>
      </c>
    </row>
    <row r="5" spans="1:12" x14ac:dyDescent="0.35">
      <c r="A5" s="5" t="s">
        <v>36</v>
      </c>
      <c r="B5" s="1">
        <v>2</v>
      </c>
      <c r="C5" s="21">
        <v>0.3</v>
      </c>
      <c r="D5" s="1" t="s">
        <v>11</v>
      </c>
      <c r="E5" s="1" t="str">
        <f>_xlfn.XLOOKUP(tblVentas[[#This Row],[Comprador]],tblClientes[Nombre_del_cliente],tblClientes[ID_Cliente])</f>
        <v>CLI-04</v>
      </c>
      <c r="F5" s="1" t="s">
        <v>12</v>
      </c>
      <c r="G5" s="1" t="str">
        <f>tblVentas[[#This Row],[ID_Venta]]&amp;"-"&amp;_xlfn.XLOOKUP(tblVentas[[#This Row],[Nombre del Producto]],tblInventario[Producto],tblInventario[ID_Producto])</f>
        <v>VEN_004-CAT-03-01</v>
      </c>
      <c r="H5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Panaderia</v>
      </c>
      <c r="I5" s="1">
        <v>3</v>
      </c>
      <c r="J5" s="23">
        <f>_xlfn.XLOOKUP(tblVentas[[#This Row],[Nombre del Producto]],tblInventario[Producto],tblInventario[Precio])</f>
        <v>3600</v>
      </c>
      <c r="K5" s="23">
        <f>tblVentas[[#This Row],[Unidades vendidas]]*tblVentas[[#This Row],[Valor del producto]]*(1-tblVentas[[#This Row],[Descuento]])</f>
        <v>7559.9999999999991</v>
      </c>
      <c r="L5" s="24">
        <f>tblVentas[[#This Row],[Unidades vendidas]]*tblVentas[[#This Row],[Valor del producto]]-tblVentas[[#This Row],[Valor de venta]]</f>
        <v>3240.0000000000009</v>
      </c>
    </row>
    <row r="6" spans="1:12" x14ac:dyDescent="0.35">
      <c r="A6" s="5" t="s">
        <v>37</v>
      </c>
      <c r="B6" s="1">
        <v>2</v>
      </c>
      <c r="C6" s="21">
        <v>0.3</v>
      </c>
      <c r="D6" s="1" t="s">
        <v>11</v>
      </c>
      <c r="E6" s="1" t="str">
        <f>_xlfn.XLOOKUP(tblVentas[[#This Row],[Comprador]],tblClientes[Nombre_del_cliente],tblClientes[ID_Cliente])</f>
        <v>CLI-04</v>
      </c>
      <c r="F6" s="1" t="s">
        <v>13</v>
      </c>
      <c r="G6" s="1" t="str">
        <f>tblVentas[[#This Row],[ID_Venta]]&amp;"-"&amp;_xlfn.XLOOKUP(tblVentas[[#This Row],[Nombre del Producto]],tblInventario[Producto],tblInventario[ID_Producto])</f>
        <v>VEN_005-CAT-02-01</v>
      </c>
      <c r="H6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Almuerzos</v>
      </c>
      <c r="I6" s="1">
        <v>3</v>
      </c>
      <c r="J6" s="23">
        <f>_xlfn.XLOOKUP(tblVentas[[#This Row],[Nombre del Producto]],tblInventario[Producto],tblInventario[Precio])</f>
        <v>18000</v>
      </c>
      <c r="K6" s="23">
        <f>tblVentas[[#This Row],[Unidades vendidas]]*tblVentas[[#This Row],[Valor del producto]]*(1-tblVentas[[#This Row],[Descuento]])</f>
        <v>37800</v>
      </c>
      <c r="L6" s="24">
        <f>tblVentas[[#This Row],[Unidades vendidas]]*tblVentas[[#This Row],[Valor del producto]]-tblVentas[[#This Row],[Valor de venta]]</f>
        <v>16200</v>
      </c>
    </row>
    <row r="7" spans="1:12" x14ac:dyDescent="0.35">
      <c r="A7" s="5" t="s">
        <v>38</v>
      </c>
      <c r="B7" s="1">
        <v>2</v>
      </c>
      <c r="C7" s="21">
        <v>0.3</v>
      </c>
      <c r="D7" s="1" t="s">
        <v>14</v>
      </c>
      <c r="E7" s="1" t="str">
        <f>_xlfn.XLOOKUP(tblVentas[[#This Row],[Comprador]],tblClientes[Nombre_del_cliente],tblClientes[ID_Cliente])</f>
        <v>CLI-05</v>
      </c>
      <c r="F7" s="1" t="s">
        <v>15</v>
      </c>
      <c r="G7" s="1" t="str">
        <f>tblVentas[[#This Row],[ID_Venta]]&amp;"-"&amp;_xlfn.XLOOKUP(tblVentas[[#This Row],[Nombre del Producto]],tblInventario[Producto],tblInventario[ID_Producto])</f>
        <v>VEN_006-CAT-02-03</v>
      </c>
      <c r="H7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Almuerzos</v>
      </c>
      <c r="I7" s="1">
        <v>1</v>
      </c>
      <c r="J7" s="23">
        <f>_xlfn.XLOOKUP(tblVentas[[#This Row],[Nombre del Producto]],tblInventario[Producto],tblInventario[Precio])</f>
        <v>18000</v>
      </c>
      <c r="K7" s="23">
        <f>tblVentas[[#This Row],[Unidades vendidas]]*tblVentas[[#This Row],[Valor del producto]]*(1-tblVentas[[#This Row],[Descuento]])</f>
        <v>12600</v>
      </c>
      <c r="L7" s="24">
        <f>tblVentas[[#This Row],[Unidades vendidas]]*tblVentas[[#This Row],[Valor del producto]]-tblVentas[[#This Row],[Valor de venta]]</f>
        <v>5400</v>
      </c>
    </row>
    <row r="8" spans="1:12" x14ac:dyDescent="0.35">
      <c r="A8" s="5" t="s">
        <v>39</v>
      </c>
      <c r="B8" s="1">
        <v>2</v>
      </c>
      <c r="C8" s="21">
        <v>0.3</v>
      </c>
      <c r="D8" s="1" t="s">
        <v>14</v>
      </c>
      <c r="E8" s="1" t="str">
        <f>_xlfn.XLOOKUP(tblVentas[[#This Row],[Comprador]],tblClientes[Nombre_del_cliente],tblClientes[ID_Cliente])</f>
        <v>CLI-05</v>
      </c>
      <c r="F8" s="1" t="s">
        <v>16</v>
      </c>
      <c r="G8" s="1" t="str">
        <f>tblVentas[[#This Row],[ID_Venta]]&amp;"-"&amp;_xlfn.XLOOKUP(tblVentas[[#This Row],[Nombre del Producto]],tblInventario[Producto],tblInventario[ID_Producto])</f>
        <v>VEN_007-CAT-03-02</v>
      </c>
      <c r="H8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Panaderia</v>
      </c>
      <c r="I8" s="1">
        <v>2</v>
      </c>
      <c r="J8" s="23">
        <f>_xlfn.XLOOKUP(tblVentas[[#This Row],[Nombre del Producto]],tblInventario[Producto],tblInventario[Precio])</f>
        <v>9000</v>
      </c>
      <c r="K8" s="23">
        <f>tblVentas[[#This Row],[Unidades vendidas]]*tblVentas[[#This Row],[Valor del producto]]*(1-tblVentas[[#This Row],[Descuento]])</f>
        <v>12600</v>
      </c>
      <c r="L8" s="24">
        <f>tblVentas[[#This Row],[Unidades vendidas]]*tblVentas[[#This Row],[Valor del producto]]-tblVentas[[#This Row],[Valor de venta]]</f>
        <v>5400</v>
      </c>
    </row>
    <row r="9" spans="1:12" x14ac:dyDescent="0.35">
      <c r="A9" s="5" t="s">
        <v>40</v>
      </c>
      <c r="B9" s="1">
        <v>3</v>
      </c>
      <c r="C9" s="21">
        <v>0.7</v>
      </c>
      <c r="D9" s="1" t="s">
        <v>9</v>
      </c>
      <c r="E9" s="1" t="str">
        <f>_xlfn.XLOOKUP(tblVentas[[#This Row],[Comprador]],tblClientes[Nombre_del_cliente],tblClientes[ID_Cliente])</f>
        <v>CLI-01</v>
      </c>
      <c r="F9" s="1" t="s">
        <v>17</v>
      </c>
      <c r="G9" s="1" t="str">
        <f>tblVentas[[#This Row],[ID_Venta]]&amp;"-"&amp;_xlfn.XLOOKUP(tblVentas[[#This Row],[Nombre del Producto]],tblInventario[Producto],tblInventario[ID_Producto])</f>
        <v>VEN_008-CAT-01-05</v>
      </c>
      <c r="H9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Camisetas</v>
      </c>
      <c r="I9" s="1">
        <v>1</v>
      </c>
      <c r="J9" s="23">
        <f>_xlfn.XLOOKUP(tblVentas[[#This Row],[Nombre del Producto]],tblInventario[Producto],tblInventario[Precio])</f>
        <v>200000</v>
      </c>
      <c r="K9" s="23">
        <f>tblVentas[[#This Row],[Unidades vendidas]]*tblVentas[[#This Row],[Valor del producto]]*(1-tblVentas[[#This Row],[Descuento]])</f>
        <v>60000.000000000007</v>
      </c>
      <c r="L9" s="24">
        <f>tblVentas[[#This Row],[Unidades vendidas]]*tblVentas[[#This Row],[Valor del producto]]-tblVentas[[#This Row],[Valor de venta]]</f>
        <v>140000</v>
      </c>
    </row>
    <row r="10" spans="1:12" x14ac:dyDescent="0.35">
      <c r="A10" s="5" t="s">
        <v>41</v>
      </c>
      <c r="B10" s="1">
        <v>3</v>
      </c>
      <c r="C10" s="21">
        <v>0.7</v>
      </c>
      <c r="D10" s="1" t="s">
        <v>5</v>
      </c>
      <c r="E10" s="1" t="str">
        <f>_xlfn.XLOOKUP(tblVentas[[#This Row],[Comprador]],tblClientes[Nombre_del_cliente],tblClientes[ID_Cliente])</f>
        <v>CLI-02</v>
      </c>
      <c r="F10" s="1" t="s">
        <v>8</v>
      </c>
      <c r="G10" s="1" t="str">
        <f>tblVentas[[#This Row],[ID_Venta]]&amp;"-"&amp;_xlfn.XLOOKUP(tblVentas[[#This Row],[Nombre del Producto]],tblInventario[Producto],tblInventario[ID_Producto])</f>
        <v>VEN_009-CAT-02-02</v>
      </c>
      <c r="H10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Almuerzos</v>
      </c>
      <c r="I10" s="1">
        <v>3</v>
      </c>
      <c r="J10" s="23">
        <f>_xlfn.XLOOKUP(tblVentas[[#This Row],[Nombre del Producto]],tblInventario[Producto],tblInventario[Precio])</f>
        <v>18000</v>
      </c>
      <c r="K10" s="23">
        <f>tblVentas[[#This Row],[Unidades vendidas]]*tblVentas[[#This Row],[Valor del producto]]*(1-tblVentas[[#This Row],[Descuento]])</f>
        <v>16200.000000000002</v>
      </c>
      <c r="L10" s="24">
        <f>tblVentas[[#This Row],[Unidades vendidas]]*tblVentas[[#This Row],[Valor del producto]]-tblVentas[[#This Row],[Valor de venta]]</f>
        <v>37800</v>
      </c>
    </row>
    <row r="11" spans="1:12" x14ac:dyDescent="0.35">
      <c r="A11" s="5" t="s">
        <v>42</v>
      </c>
      <c r="B11" s="1">
        <v>3</v>
      </c>
      <c r="C11" s="21">
        <v>0.7</v>
      </c>
      <c r="D11" s="1" t="s">
        <v>7</v>
      </c>
      <c r="E11" s="1" t="str">
        <f>_xlfn.XLOOKUP(tblVentas[[#This Row],[Comprador]],tblClientes[Nombre_del_cliente],tblClientes[ID_Cliente])</f>
        <v>CLI-03</v>
      </c>
      <c r="F11" s="1" t="s">
        <v>8</v>
      </c>
      <c r="G11" s="1" t="str">
        <f>tblVentas[[#This Row],[ID_Venta]]&amp;"-"&amp;_xlfn.XLOOKUP(tblVentas[[#This Row],[Nombre del Producto]],tblInventario[Producto],tblInventario[ID_Producto])</f>
        <v>VEN_010-CAT-02-02</v>
      </c>
      <c r="H11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Almuerzos</v>
      </c>
      <c r="I11" s="1">
        <v>3</v>
      </c>
      <c r="J11" s="23">
        <f>_xlfn.XLOOKUP(tblVentas[[#This Row],[Nombre del Producto]],tblInventario[Producto],tblInventario[Precio])</f>
        <v>18000</v>
      </c>
      <c r="K11" s="23">
        <f>tblVentas[[#This Row],[Unidades vendidas]]*tblVentas[[#This Row],[Valor del producto]]*(1-tblVentas[[#This Row],[Descuento]])</f>
        <v>16200.000000000002</v>
      </c>
      <c r="L11" s="24">
        <f>tblVentas[[#This Row],[Unidades vendidas]]*tblVentas[[#This Row],[Valor del producto]]-tblVentas[[#This Row],[Valor de venta]]</f>
        <v>37800</v>
      </c>
    </row>
    <row r="12" spans="1:12" x14ac:dyDescent="0.35">
      <c r="A12" s="5" t="s">
        <v>43</v>
      </c>
      <c r="B12" s="1">
        <v>3</v>
      </c>
      <c r="C12" s="21">
        <v>0.7</v>
      </c>
      <c r="D12" s="1" t="s">
        <v>14</v>
      </c>
      <c r="E12" s="1" t="str">
        <f>_xlfn.XLOOKUP(tblVentas[[#This Row],[Comprador]],tblClientes[Nombre_del_cliente],tblClientes[ID_Cliente])</f>
        <v>CLI-05</v>
      </c>
      <c r="F12" s="1" t="s">
        <v>15</v>
      </c>
      <c r="G12" s="1" t="str">
        <f>tblVentas[[#This Row],[ID_Venta]]&amp;"-"&amp;_xlfn.XLOOKUP(tblVentas[[#This Row],[Nombre del Producto]],tblInventario[Producto],tblInventario[ID_Producto])</f>
        <v>VEN_011-CAT-02-03</v>
      </c>
      <c r="H12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Almuerzos</v>
      </c>
      <c r="I12" s="1">
        <v>2</v>
      </c>
      <c r="J12" s="23">
        <f>_xlfn.XLOOKUP(tblVentas[[#This Row],[Nombre del Producto]],tblInventario[Producto],tblInventario[Precio])</f>
        <v>18000</v>
      </c>
      <c r="K12" s="23">
        <f>tblVentas[[#This Row],[Unidades vendidas]]*tblVentas[[#This Row],[Valor del producto]]*(1-tblVentas[[#This Row],[Descuento]])</f>
        <v>10800.000000000002</v>
      </c>
      <c r="L12" s="24">
        <f>tblVentas[[#This Row],[Unidades vendidas]]*tblVentas[[#This Row],[Valor del producto]]-tblVentas[[#This Row],[Valor de venta]]</f>
        <v>25200</v>
      </c>
    </row>
    <row r="13" spans="1:12" x14ac:dyDescent="0.35">
      <c r="A13" s="5" t="s">
        <v>44</v>
      </c>
      <c r="B13" s="1">
        <v>3</v>
      </c>
      <c r="C13" s="21">
        <v>0.7</v>
      </c>
      <c r="D13" s="1" t="s">
        <v>11</v>
      </c>
      <c r="E13" s="1" t="str">
        <f>_xlfn.XLOOKUP(tblVentas[[#This Row],[Comprador]],tblClientes[Nombre_del_cliente],tblClientes[ID_Cliente])</f>
        <v>CLI-04</v>
      </c>
      <c r="F13" s="1" t="s">
        <v>18</v>
      </c>
      <c r="G13" s="1" t="str">
        <f>tblVentas[[#This Row],[ID_Venta]]&amp;"-"&amp;_xlfn.XLOOKUP(tblVentas[[#This Row],[Nombre del Producto]],tblInventario[Producto],tblInventario[ID_Producto])</f>
        <v>VEN_012-CAT-03-03</v>
      </c>
      <c r="H13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Panaderia</v>
      </c>
      <c r="I13" s="1">
        <v>5</v>
      </c>
      <c r="J13" s="23">
        <f>_xlfn.XLOOKUP(tblVentas[[#This Row],[Nombre del Producto]],tblInventario[Producto],tblInventario[Precio])</f>
        <v>11000</v>
      </c>
      <c r="K13" s="23">
        <f>tblVentas[[#This Row],[Unidades vendidas]]*tblVentas[[#This Row],[Valor del producto]]*(1-tblVentas[[#This Row],[Descuento]])</f>
        <v>16500.000000000004</v>
      </c>
      <c r="L13" s="24">
        <f>tblVentas[[#This Row],[Unidades vendidas]]*tblVentas[[#This Row],[Valor del producto]]-tblVentas[[#This Row],[Valor de venta]]</f>
        <v>38500</v>
      </c>
    </row>
    <row r="14" spans="1:12" x14ac:dyDescent="0.35">
      <c r="A14" s="5" t="s">
        <v>45</v>
      </c>
      <c r="B14" s="1">
        <v>3</v>
      </c>
      <c r="C14" s="21">
        <v>0.7</v>
      </c>
      <c r="D14" s="1" t="s">
        <v>14</v>
      </c>
      <c r="E14" s="1" t="str">
        <f>_xlfn.XLOOKUP(tblVentas[[#This Row],[Comprador]],tblClientes[Nombre_del_cliente],tblClientes[ID_Cliente])</f>
        <v>CLI-05</v>
      </c>
      <c r="F14" s="1" t="s">
        <v>21</v>
      </c>
      <c r="G14" s="1" t="str">
        <f>tblVentas[[#This Row],[ID_Venta]]&amp;"-"&amp;_xlfn.XLOOKUP(tblVentas[[#This Row],[Nombre del Producto]],tblInventario[Producto],tblInventario[ID_Producto])</f>
        <v>VEN_013-CAT-01-02</v>
      </c>
      <c r="H14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Camisetas</v>
      </c>
      <c r="I14" s="1">
        <v>1</v>
      </c>
      <c r="J14" s="23">
        <f>_xlfn.XLOOKUP(tblVentas[[#This Row],[Nombre del Producto]],tblInventario[Producto],tblInventario[Precio])</f>
        <v>200000</v>
      </c>
      <c r="K14" s="23">
        <f>tblVentas[[#This Row],[Unidades vendidas]]*tblVentas[[#This Row],[Valor del producto]]*(1-tblVentas[[#This Row],[Descuento]])</f>
        <v>60000.000000000007</v>
      </c>
      <c r="L14" s="24">
        <f>tblVentas[[#This Row],[Unidades vendidas]]*tblVentas[[#This Row],[Valor del producto]]-tblVentas[[#This Row],[Valor de venta]]</f>
        <v>140000</v>
      </c>
    </row>
    <row r="15" spans="1:12" x14ac:dyDescent="0.35">
      <c r="A15" s="5" t="s">
        <v>46</v>
      </c>
      <c r="B15" s="1">
        <v>3</v>
      </c>
      <c r="C15" s="21">
        <v>0.7</v>
      </c>
      <c r="D15" s="1" t="s">
        <v>14</v>
      </c>
      <c r="E15" s="1" t="str">
        <f>_xlfn.XLOOKUP(tblVentas[[#This Row],[Comprador]],tblClientes[Nombre_del_cliente],tblClientes[ID_Cliente])</f>
        <v>CLI-05</v>
      </c>
      <c r="F15" s="1" t="s">
        <v>22</v>
      </c>
      <c r="G15" s="1" t="str">
        <f>tblVentas[[#This Row],[ID_Venta]]&amp;"-"&amp;_xlfn.XLOOKUP(tblVentas[[#This Row],[Nombre del Producto]],tblInventario[Producto],tblInventario[ID_Producto])</f>
        <v>VEN_014-CAT-01-01</v>
      </c>
      <c r="H15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Camisetas</v>
      </c>
      <c r="I15" s="1">
        <v>1</v>
      </c>
      <c r="J15" s="23">
        <f>_xlfn.XLOOKUP(tblVentas[[#This Row],[Nombre del Producto]],tblInventario[Producto],tblInventario[Precio])</f>
        <v>200000</v>
      </c>
      <c r="K15" s="23">
        <f>tblVentas[[#This Row],[Unidades vendidas]]*tblVentas[[#This Row],[Valor del producto]]*(1-tblVentas[[#This Row],[Descuento]])</f>
        <v>60000.000000000007</v>
      </c>
      <c r="L15" s="24">
        <f>tblVentas[[#This Row],[Unidades vendidas]]*tblVentas[[#This Row],[Valor del producto]]-tblVentas[[#This Row],[Valor de venta]]</f>
        <v>140000</v>
      </c>
    </row>
    <row r="16" spans="1:12" x14ac:dyDescent="0.35">
      <c r="A16" s="5" t="s">
        <v>47</v>
      </c>
      <c r="B16" s="1">
        <v>3</v>
      </c>
      <c r="C16" s="21">
        <v>0.7</v>
      </c>
      <c r="D16" s="1" t="s">
        <v>9</v>
      </c>
      <c r="E16" s="1" t="str">
        <f>_xlfn.XLOOKUP(tblVentas[[#This Row],[Comprador]],tblClientes[Nombre_del_cliente],tblClientes[ID_Cliente])</f>
        <v>CLI-01</v>
      </c>
      <c r="F16" s="1" t="s">
        <v>13</v>
      </c>
      <c r="G16" s="1" t="str">
        <f>tblVentas[[#This Row],[ID_Venta]]&amp;"-"&amp;_xlfn.XLOOKUP(tblVentas[[#This Row],[Nombre del Producto]],tblInventario[Producto],tblInventario[ID_Producto])</f>
        <v>VEN_015-CAT-02-01</v>
      </c>
      <c r="H16" s="1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Almuerzos</v>
      </c>
      <c r="I16" s="1">
        <v>2</v>
      </c>
      <c r="J16" s="23">
        <f>_xlfn.XLOOKUP(tblVentas[[#This Row],[Nombre del Producto]],tblInventario[Producto],tblInventario[Precio])</f>
        <v>18000</v>
      </c>
      <c r="K16" s="23">
        <f>tblVentas[[#This Row],[Unidades vendidas]]*tblVentas[[#This Row],[Valor del producto]]*(1-tblVentas[[#This Row],[Descuento]])</f>
        <v>10800.000000000002</v>
      </c>
      <c r="L16" s="24">
        <f>tblVentas[[#This Row],[Unidades vendidas]]*tblVentas[[#This Row],[Valor del producto]]-tblVentas[[#This Row],[Valor de venta]]</f>
        <v>25200</v>
      </c>
    </row>
    <row r="17" spans="1:12" x14ac:dyDescent="0.35">
      <c r="A17" s="9" t="s">
        <v>48</v>
      </c>
      <c r="B17" s="13">
        <v>3</v>
      </c>
      <c r="C17" s="22">
        <v>0.7</v>
      </c>
      <c r="D17" s="13" t="s">
        <v>9</v>
      </c>
      <c r="E17" s="13" t="str">
        <f>_xlfn.XLOOKUP(tblVentas[[#This Row],[Comprador]],tblClientes[Nombre_del_cliente],tblClientes[ID_Cliente])</f>
        <v>CLI-01</v>
      </c>
      <c r="F17" s="13" t="s">
        <v>16</v>
      </c>
      <c r="G17" s="13" t="str">
        <f>tblVentas[[#This Row],[ID_Venta]]&amp;"-"&amp;_xlfn.XLOOKUP(tblVentas[[#This Row],[Nombre del Producto]],tblInventario[Producto],tblInventario[ID_Producto])</f>
        <v>VEN_016-CAT-03-02</v>
      </c>
      <c r="H17" s="13" t="str">
        <f>IF(ISNUMBER(SEARCH("Camiseta",tblVentas[[#This Row],[Nombre del Producto]])),"Camisetas",IF(OR(ISNUMBER(SEARCH("Baguette",tblVentas[[#This Row],[Nombre del Producto]])),ISNUMBER(SEARCH("Croissant",tblVentas[[#This Row],[Nombre del Producto]])),ISNUMBER(SEARCH("Pan",tblVentas[[#This Row],[Nombre del Producto]]))),"Panaderia","Almuerzos"))</f>
        <v>Panaderia</v>
      </c>
      <c r="I17" s="13">
        <v>2</v>
      </c>
      <c r="J17" s="25">
        <f>_xlfn.XLOOKUP(tblVentas[[#This Row],[Nombre del Producto]],tblInventario[Producto],tblInventario[Precio])</f>
        <v>9000</v>
      </c>
      <c r="K17" s="25">
        <f>tblVentas[[#This Row],[Unidades vendidas]]*tblVentas[[#This Row],[Valor del producto]]*(1-tblVentas[[#This Row],[Descuento]])</f>
        <v>5400.0000000000009</v>
      </c>
      <c r="L17" s="26">
        <f>tblVentas[[#This Row],[Unidades vendidas]]*tblVentas[[#This Row],[Valor del producto]]-tblVentas[[#This Row],[Valor de venta]]</f>
        <v>12600</v>
      </c>
    </row>
    <row r="84" spans="34:34" x14ac:dyDescent="0.35">
      <c r="AH84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EE4C-66CB-4A8A-8318-45166B905593}">
  <dimension ref="A1:I12"/>
  <sheetViews>
    <sheetView workbookViewId="0">
      <pane ySplit="2" topLeftCell="A3" activePane="bottomLeft" state="frozen"/>
      <selection pane="bottomLeft" activeCell="C24" sqref="C24"/>
    </sheetView>
  </sheetViews>
  <sheetFormatPr baseColWidth="10" defaultRowHeight="14.5" x14ac:dyDescent="0.35"/>
  <cols>
    <col min="2" max="2" width="12.1796875" customWidth="1"/>
    <col min="3" max="3" width="13.81640625" customWidth="1"/>
    <col min="4" max="4" width="16.54296875" bestFit="1" customWidth="1"/>
    <col min="5" max="5" width="21.26953125" customWidth="1"/>
    <col min="7" max="7" width="11.81640625" customWidth="1"/>
    <col min="9" max="9" width="20.90625" bestFit="1" customWidth="1"/>
  </cols>
  <sheetData>
    <row r="1" spans="1:9" x14ac:dyDescent="0.35">
      <c r="A1" s="2" t="s">
        <v>80</v>
      </c>
      <c r="B1" s="3"/>
      <c r="C1" s="3"/>
      <c r="D1" s="3"/>
      <c r="E1" s="3"/>
      <c r="F1" s="3"/>
      <c r="G1" s="3"/>
      <c r="H1" s="3"/>
      <c r="I1" s="4"/>
    </row>
    <row r="2" spans="1:9" x14ac:dyDescent="0.35">
      <c r="A2" s="18" t="s">
        <v>50</v>
      </c>
      <c r="B2" s="19" t="s">
        <v>0</v>
      </c>
      <c r="C2" s="19" t="s">
        <v>96</v>
      </c>
      <c r="D2" s="19" t="s">
        <v>1</v>
      </c>
      <c r="E2" s="19" t="s">
        <v>97</v>
      </c>
      <c r="F2" s="19" t="s">
        <v>4</v>
      </c>
      <c r="G2" s="19" t="s">
        <v>20</v>
      </c>
      <c r="H2" s="19" t="s">
        <v>3</v>
      </c>
      <c r="I2" s="20" t="s">
        <v>99</v>
      </c>
    </row>
    <row r="3" spans="1:9" x14ac:dyDescent="0.35">
      <c r="A3" s="5" t="s">
        <v>100</v>
      </c>
      <c r="B3" s="1" t="s">
        <v>81</v>
      </c>
      <c r="C3" s="1" t="str">
        <f>_xlfn.XLOOKUP(tblCompras[[#This Row],[Comprador]],tblEmpleados[Nombre_del_empleado],tblEmpleados[ID_Empleado])</f>
        <v>EMP-002</v>
      </c>
      <c r="D3" s="1" t="s">
        <v>82</v>
      </c>
      <c r="E3" s="1">
        <v>1</v>
      </c>
      <c r="F3" s="23">
        <v>2000</v>
      </c>
      <c r="G3" s="21">
        <v>0</v>
      </c>
      <c r="H3" s="23">
        <f>tblCompras[[#This Row],[Unidades_Compradas]]*tblCompras[[#This Row],[Precio]]*(1-tblCompras[[#This Row],[Descuento]])</f>
        <v>2000</v>
      </c>
      <c r="I3" s="24">
        <f>(tblCompras[[#This Row],[Unidades_Compradas]]*tblCompras[[#This Row],[Precio]])-tblCompras[[#This Row],[Valor]]</f>
        <v>0</v>
      </c>
    </row>
    <row r="4" spans="1:9" x14ac:dyDescent="0.35">
      <c r="A4" s="5" t="s">
        <v>101</v>
      </c>
      <c r="B4" s="1" t="s">
        <v>81</v>
      </c>
      <c r="C4" s="1" t="str">
        <f>_xlfn.XLOOKUP(tblCompras[[#This Row],[Comprador]],tblEmpleados[Nombre_del_empleado],tblEmpleados[ID_Empleado])</f>
        <v>EMP-002</v>
      </c>
      <c r="D4" s="1" t="s">
        <v>83</v>
      </c>
      <c r="E4" s="1">
        <v>3</v>
      </c>
      <c r="F4" s="23">
        <v>6000</v>
      </c>
      <c r="G4" s="21">
        <v>0</v>
      </c>
      <c r="H4" s="23">
        <f>tblCompras[[#This Row],[Unidades_Compradas]]*tblCompras[[#This Row],[Precio]]*(1-tblCompras[[#This Row],[Descuento]])</f>
        <v>18000</v>
      </c>
      <c r="I4" s="24">
        <f>(tblCompras[[#This Row],[Unidades_Compradas]]*tblCompras[[#This Row],[Precio]])-tblCompras[[#This Row],[Valor]]</f>
        <v>0</v>
      </c>
    </row>
    <row r="5" spans="1:9" x14ac:dyDescent="0.35">
      <c r="A5" s="5" t="s">
        <v>102</v>
      </c>
      <c r="B5" s="1" t="s">
        <v>73</v>
      </c>
      <c r="C5" s="1" t="str">
        <f>_xlfn.XLOOKUP(tblCompras[[#This Row],[Comprador]],tblEmpleados[Nombre_del_empleado],tblEmpleados[ID_Empleado])</f>
        <v>EMP-004</v>
      </c>
      <c r="D5" s="1" t="s">
        <v>84</v>
      </c>
      <c r="E5" s="1">
        <v>1</v>
      </c>
      <c r="F5" s="23">
        <v>8000</v>
      </c>
      <c r="G5" s="21">
        <v>0.1</v>
      </c>
      <c r="H5" s="23">
        <f>tblCompras[[#This Row],[Unidades_Compradas]]*tblCompras[[#This Row],[Precio]]*(1-tblCompras[[#This Row],[Descuento]])</f>
        <v>7200</v>
      </c>
      <c r="I5" s="24">
        <f>(tblCompras[[#This Row],[Unidades_Compradas]]*tblCompras[[#This Row],[Precio]])-tblCompras[[#This Row],[Valor]]</f>
        <v>800</v>
      </c>
    </row>
    <row r="6" spans="1:9" x14ac:dyDescent="0.35">
      <c r="A6" s="5" t="s">
        <v>103</v>
      </c>
      <c r="B6" s="1" t="s">
        <v>73</v>
      </c>
      <c r="C6" s="1" t="str">
        <f>_xlfn.XLOOKUP(tblCompras[[#This Row],[Comprador]],tblEmpleados[Nombre_del_empleado],tblEmpleados[ID_Empleado])</f>
        <v>EMP-004</v>
      </c>
      <c r="D6" s="1" t="s">
        <v>85</v>
      </c>
      <c r="E6" s="1">
        <v>9</v>
      </c>
      <c r="F6" s="23">
        <v>4000</v>
      </c>
      <c r="G6" s="21">
        <v>0.1</v>
      </c>
      <c r="H6" s="23">
        <f>tblCompras[[#This Row],[Unidades_Compradas]]*tblCompras[[#This Row],[Precio]]*(1-tblCompras[[#This Row],[Descuento]])</f>
        <v>32400</v>
      </c>
      <c r="I6" s="24">
        <f>(tblCompras[[#This Row],[Unidades_Compradas]]*tblCompras[[#This Row],[Precio]])-tblCompras[[#This Row],[Valor]]</f>
        <v>3600</v>
      </c>
    </row>
    <row r="7" spans="1:9" x14ac:dyDescent="0.35">
      <c r="A7" s="5" t="s">
        <v>104</v>
      </c>
      <c r="B7" s="1" t="s">
        <v>86</v>
      </c>
      <c r="C7" s="1" t="str">
        <f>_xlfn.XLOOKUP(tblCompras[[#This Row],[Comprador]],tblEmpleados[Nombre_del_empleado],tblEmpleados[ID_Empleado])</f>
        <v>EMP-001</v>
      </c>
      <c r="D7" s="1" t="s">
        <v>87</v>
      </c>
      <c r="E7" s="1">
        <v>2</v>
      </c>
      <c r="F7" s="23">
        <v>7500</v>
      </c>
      <c r="G7" s="21">
        <v>0.3</v>
      </c>
      <c r="H7" s="23">
        <f>tblCompras[[#This Row],[Unidades_Compradas]]*tblCompras[[#This Row],[Precio]]*(1-tblCompras[[#This Row],[Descuento]])</f>
        <v>10500</v>
      </c>
      <c r="I7" s="24">
        <f>(tblCompras[[#This Row],[Unidades_Compradas]]*tblCompras[[#This Row],[Precio]])-tblCompras[[#This Row],[Valor]]</f>
        <v>4500</v>
      </c>
    </row>
    <row r="8" spans="1:9" x14ac:dyDescent="0.35">
      <c r="A8" s="5" t="s">
        <v>105</v>
      </c>
      <c r="B8" s="1" t="s">
        <v>86</v>
      </c>
      <c r="C8" s="1" t="str">
        <f>_xlfn.XLOOKUP(tblCompras[[#This Row],[Comprador]],tblEmpleados[Nombre_del_empleado],tblEmpleados[ID_Empleado])</f>
        <v>EMP-001</v>
      </c>
      <c r="D8" s="1" t="s">
        <v>88</v>
      </c>
      <c r="E8" s="1">
        <v>2</v>
      </c>
      <c r="F8" s="23">
        <v>4000</v>
      </c>
      <c r="G8" s="21">
        <v>0.3</v>
      </c>
      <c r="H8" s="23">
        <f>tblCompras[[#This Row],[Unidades_Compradas]]*tblCompras[[#This Row],[Precio]]*(1-tblCompras[[#This Row],[Descuento]])</f>
        <v>5600</v>
      </c>
      <c r="I8" s="24">
        <f>(tblCompras[[#This Row],[Unidades_Compradas]]*tblCompras[[#This Row],[Precio]])-tblCompras[[#This Row],[Valor]]</f>
        <v>2400</v>
      </c>
    </row>
    <row r="9" spans="1:9" x14ac:dyDescent="0.35">
      <c r="A9" s="5" t="s">
        <v>106</v>
      </c>
      <c r="B9" s="1" t="s">
        <v>86</v>
      </c>
      <c r="C9" s="1" t="str">
        <f>_xlfn.XLOOKUP(tblCompras[[#This Row],[Comprador]],tblEmpleados[Nombre_del_empleado],tblEmpleados[ID_Empleado])</f>
        <v>EMP-001</v>
      </c>
      <c r="D9" s="1" t="s">
        <v>89</v>
      </c>
      <c r="E9" s="1">
        <v>1</v>
      </c>
      <c r="F9" s="23">
        <v>10000</v>
      </c>
      <c r="G9" s="21">
        <v>0.3</v>
      </c>
      <c r="H9" s="23">
        <f>tblCompras[[#This Row],[Unidades_Compradas]]*tblCompras[[#This Row],[Precio]]*(1-tblCompras[[#This Row],[Descuento]])</f>
        <v>7000</v>
      </c>
      <c r="I9" s="24">
        <f>(tblCompras[[#This Row],[Unidades_Compradas]]*tblCompras[[#This Row],[Precio]])-tblCompras[[#This Row],[Valor]]</f>
        <v>3000</v>
      </c>
    </row>
    <row r="10" spans="1:9" x14ac:dyDescent="0.35">
      <c r="A10" s="5" t="s">
        <v>107</v>
      </c>
      <c r="B10" s="1" t="s">
        <v>86</v>
      </c>
      <c r="C10" s="1" t="str">
        <f>_xlfn.XLOOKUP(tblCompras[[#This Row],[Comprador]],tblEmpleados[Nombre_del_empleado],tblEmpleados[ID_Empleado])</f>
        <v>EMP-001</v>
      </c>
      <c r="D10" s="1" t="s">
        <v>90</v>
      </c>
      <c r="E10" s="1">
        <v>1</v>
      </c>
      <c r="F10" s="23">
        <v>8000</v>
      </c>
      <c r="G10" s="21">
        <v>0.3</v>
      </c>
      <c r="H10" s="23">
        <f>tblCompras[[#This Row],[Unidades_Compradas]]*tblCompras[[#This Row],[Precio]]*(1-tblCompras[[#This Row],[Descuento]])</f>
        <v>5600</v>
      </c>
      <c r="I10" s="24">
        <f>(tblCompras[[#This Row],[Unidades_Compradas]]*tblCompras[[#This Row],[Precio]])-tblCompras[[#This Row],[Valor]]</f>
        <v>2400</v>
      </c>
    </row>
    <row r="11" spans="1:9" x14ac:dyDescent="0.35">
      <c r="A11" s="5" t="s">
        <v>108</v>
      </c>
      <c r="B11" s="1" t="s">
        <v>81</v>
      </c>
      <c r="C11" s="1" t="str">
        <f>_xlfn.XLOOKUP(tblCompras[[#This Row],[Comprador]],tblEmpleados[Nombre_del_empleado],tblEmpleados[ID_Empleado])</f>
        <v>EMP-002</v>
      </c>
      <c r="D11" s="1" t="s">
        <v>91</v>
      </c>
      <c r="E11" s="1">
        <v>2</v>
      </c>
      <c r="F11" s="23">
        <v>23900</v>
      </c>
      <c r="G11" s="21">
        <v>0.7</v>
      </c>
      <c r="H11" s="23">
        <f>tblCompras[[#This Row],[Unidades_Compradas]]*tblCompras[[#This Row],[Precio]]*(1-tblCompras[[#This Row],[Descuento]])</f>
        <v>14340.000000000002</v>
      </c>
      <c r="I11" s="24">
        <f>(tblCompras[[#This Row],[Unidades_Compradas]]*tblCompras[[#This Row],[Precio]])-tblCompras[[#This Row],[Valor]]</f>
        <v>33460</v>
      </c>
    </row>
    <row r="12" spans="1:9" x14ac:dyDescent="0.35">
      <c r="A12" s="9" t="s">
        <v>109</v>
      </c>
      <c r="B12" s="13" t="s">
        <v>81</v>
      </c>
      <c r="C12" s="13" t="str">
        <f>_xlfn.XLOOKUP(tblCompras[[#This Row],[Comprador]],tblEmpleados[Nombre_del_empleado],tblEmpleados[ID_Empleado])</f>
        <v>EMP-002</v>
      </c>
      <c r="D12" s="13" t="s">
        <v>87</v>
      </c>
      <c r="E12" s="13">
        <v>3</v>
      </c>
      <c r="F12" s="25">
        <v>7500</v>
      </c>
      <c r="G12" s="22">
        <v>0.7</v>
      </c>
      <c r="H12" s="25">
        <f>tblCompras[[#This Row],[Unidades_Compradas]]*tblCompras[[#This Row],[Precio]]*(1-tblCompras[[#This Row],[Descuento]])</f>
        <v>6750.0000000000009</v>
      </c>
      <c r="I12" s="26">
        <f>(tblCompras[[#This Row],[Unidades_Compradas]]*tblCompras[[#This Row],[Precio]])-tblCompras[[#This Row],[Valor]]</f>
        <v>15750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C2F5-4895-4758-A09B-7DC83BB548F1}">
  <dimension ref="A1:B6"/>
  <sheetViews>
    <sheetView workbookViewId="0">
      <pane ySplit="1" topLeftCell="A2" activePane="bottomLeft" state="frozen"/>
      <selection pane="bottomLeft" activeCell="E2" sqref="E2"/>
    </sheetView>
  </sheetViews>
  <sheetFormatPr baseColWidth="10" defaultRowHeight="14.5" x14ac:dyDescent="0.35"/>
  <cols>
    <col min="1" max="1" width="19.54296875" customWidth="1"/>
    <col min="2" max="2" width="18.36328125" bestFit="1" customWidth="1"/>
  </cols>
  <sheetData>
    <row r="1" spans="1:2" x14ac:dyDescent="0.35">
      <c r="A1" s="7" t="s">
        <v>75</v>
      </c>
      <c r="B1" s="8" t="s">
        <v>95</v>
      </c>
    </row>
    <row r="2" spans="1:2" x14ac:dyDescent="0.35">
      <c r="A2" s="5" t="s">
        <v>9</v>
      </c>
      <c r="B2" s="6" t="s">
        <v>76</v>
      </c>
    </row>
    <row r="3" spans="1:2" x14ac:dyDescent="0.35">
      <c r="A3" s="5" t="s">
        <v>5</v>
      </c>
      <c r="B3" s="6" t="s">
        <v>77</v>
      </c>
    </row>
    <row r="4" spans="1:2" x14ac:dyDescent="0.35">
      <c r="A4" s="5" t="s">
        <v>7</v>
      </c>
      <c r="B4" s="6" t="s">
        <v>78</v>
      </c>
    </row>
    <row r="5" spans="1:2" x14ac:dyDescent="0.35">
      <c r="A5" s="5" t="s">
        <v>11</v>
      </c>
      <c r="B5" s="6" t="s">
        <v>79</v>
      </c>
    </row>
    <row r="6" spans="1:2" x14ac:dyDescent="0.35">
      <c r="A6" s="9" t="s">
        <v>14</v>
      </c>
      <c r="B6" s="10" t="s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2587-687B-4AFD-9398-7DA8A1F39E62}">
  <dimension ref="A1:B5"/>
  <sheetViews>
    <sheetView tabSelected="1" workbookViewId="0">
      <pane ySplit="1" topLeftCell="A2" activePane="bottomLeft" state="frozen"/>
      <selection pane="bottomLeft" activeCell="E26" sqref="E26"/>
    </sheetView>
  </sheetViews>
  <sheetFormatPr baseColWidth="10" defaultRowHeight="14.5" x14ac:dyDescent="0.35"/>
  <cols>
    <col min="1" max="1" width="22.08984375" customWidth="1"/>
    <col min="2" max="2" width="18.36328125" bestFit="1" customWidth="1"/>
  </cols>
  <sheetData>
    <row r="1" spans="1:2" x14ac:dyDescent="0.35">
      <c r="A1" s="7" t="s">
        <v>68</v>
      </c>
      <c r="B1" s="8" t="s">
        <v>96</v>
      </c>
    </row>
    <row r="2" spans="1:2" x14ac:dyDescent="0.35">
      <c r="A2" s="5" t="s">
        <v>86</v>
      </c>
      <c r="B2" s="11" t="s">
        <v>69</v>
      </c>
    </row>
    <row r="3" spans="1:2" x14ac:dyDescent="0.35">
      <c r="A3" s="5" t="s">
        <v>81</v>
      </c>
      <c r="B3" s="11" t="s">
        <v>70</v>
      </c>
    </row>
    <row r="4" spans="1:2" x14ac:dyDescent="0.35">
      <c r="A4" s="5" t="s">
        <v>71</v>
      </c>
      <c r="B4" s="11" t="s">
        <v>72</v>
      </c>
    </row>
    <row r="5" spans="1:2" x14ac:dyDescent="0.35">
      <c r="A5" s="9" t="s">
        <v>73</v>
      </c>
      <c r="B5" s="1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Ventas</vt:lpstr>
      <vt:lpstr>Compras</vt:lpstr>
      <vt:lpstr>Clientes</vt:lpstr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catral martinez</dc:creator>
  <cp:lastModifiedBy>jose david catral martinez</cp:lastModifiedBy>
  <dcterms:created xsi:type="dcterms:W3CDTF">2026-08-06T14:29:27Z</dcterms:created>
  <dcterms:modified xsi:type="dcterms:W3CDTF">2026-08-08T17:36:21Z</dcterms:modified>
</cp:coreProperties>
</file>