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cuments\"/>
    </mc:Choice>
  </mc:AlternateContent>
  <xr:revisionPtr revIDLastSave="0" documentId="13_ncr:9_{8B2D5735-69F7-481D-B308-BB8D497882A7}" xr6:coauthVersionLast="47" xr6:coauthVersionMax="47" xr10:uidLastSave="{00000000-0000-0000-0000-000000000000}"/>
  <bookViews>
    <workbookView xWindow="-120" yWindow="-120" windowWidth="24240" windowHeight="13020" xr2:uid="{F4D39A82-478F-48B3-9DB9-AE4881528AEE}"/>
  </bookViews>
  <sheets>
    <sheet name="M3 DUR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  <c r="D10" i="1"/>
  <c r="D9" i="1"/>
  <c r="D7" i="1"/>
  <c r="D3" i="1"/>
  <c r="D1" i="1"/>
</calcChain>
</file>

<file path=xl/sharedStrings.xml><?xml version="1.0" encoding="utf-8"?>
<sst xmlns="http://schemas.openxmlformats.org/spreadsheetml/2006/main" count="8" uniqueCount="8">
  <si>
    <t>id_viaje</t>
  </si>
  <si>
    <t>duracion_min</t>
  </si>
  <si>
    <t>Media</t>
  </si>
  <si>
    <t>Mediana</t>
  </si>
  <si>
    <t>Rango intercuartil</t>
  </si>
  <si>
    <t>Bigote inferior</t>
  </si>
  <si>
    <t>Bigote superior</t>
  </si>
  <si>
    <t xml:space="preserve">Debe ir solo la mediana pues la media se ve distorsionada por los valores atipicos altos.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</si>
</sst>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79AB-974F-4969-BDDC-4124F07E4FE5}">
  <dimension ref="A1:F16"/>
  <sheetViews>
    <sheetView tabSelected="1" workbookViewId="0">
      <selection activeCell="F18" sqref="F18"/>
    </sheetView>
  </sheetViews>
  <sheetFormatPr baseColWidth="10" defaultRowHeight="15" x14ac:dyDescent="0.25"/>
  <cols>
    <col min="2" max="2" width="13.28515625" bestFit="1" customWidth="1"/>
    <col min="3" max="3" width="16.85546875" bestFit="1" customWidth="1"/>
    <col min="6" max="6" width="81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1">
        <f>AVERAGE(B2:B16)</f>
        <v>54.2</v>
      </c>
    </row>
    <row r="2" spans="1:6" x14ac:dyDescent="0.25">
      <c r="A2">
        <v>2001</v>
      </c>
      <c r="B2">
        <v>8</v>
      </c>
      <c r="F2" s="1" t="s">
        <v>7</v>
      </c>
    </row>
    <row r="3" spans="1:6" x14ac:dyDescent="0.25">
      <c r="A3">
        <v>2002</v>
      </c>
      <c r="B3">
        <v>11</v>
      </c>
      <c r="C3" s="1" t="s">
        <v>3</v>
      </c>
      <c r="D3" s="1">
        <f>MEDIAN(B2:B16)</f>
        <v>18</v>
      </c>
    </row>
    <row r="4" spans="1:6" x14ac:dyDescent="0.25">
      <c r="A4">
        <v>2003</v>
      </c>
      <c r="B4">
        <v>12</v>
      </c>
    </row>
    <row r="5" spans="1:6" x14ac:dyDescent="0.25">
      <c r="A5">
        <v>2004</v>
      </c>
      <c r="B5">
        <v>12</v>
      </c>
    </row>
    <row r="6" spans="1:6" x14ac:dyDescent="0.25">
      <c r="A6">
        <v>2005</v>
      </c>
      <c r="B6">
        <v>14</v>
      </c>
    </row>
    <row r="7" spans="1:6" x14ac:dyDescent="0.25">
      <c r="A7">
        <v>2006</v>
      </c>
      <c r="B7">
        <v>15</v>
      </c>
      <c r="D7">
        <f>COUNT(B2:B16)</f>
        <v>15</v>
      </c>
    </row>
    <row r="8" spans="1:6" x14ac:dyDescent="0.25">
      <c r="A8">
        <v>2007</v>
      </c>
      <c r="B8">
        <v>17</v>
      </c>
    </row>
    <row r="9" spans="1:6" x14ac:dyDescent="0.25">
      <c r="A9">
        <v>2008</v>
      </c>
      <c r="B9">
        <v>18</v>
      </c>
      <c r="C9" s="1" t="s">
        <v>4</v>
      </c>
      <c r="D9" s="1">
        <f>B13-B5</f>
        <v>15</v>
      </c>
    </row>
    <row r="10" spans="1:6" x14ac:dyDescent="0.25">
      <c r="A10">
        <v>2009</v>
      </c>
      <c r="B10">
        <v>20</v>
      </c>
      <c r="C10" s="1" t="s">
        <v>5</v>
      </c>
      <c r="D10" s="1">
        <f>B5-1.5*D9</f>
        <v>-10.5</v>
      </c>
    </row>
    <row r="11" spans="1:6" x14ac:dyDescent="0.25">
      <c r="A11">
        <v>2010</v>
      </c>
      <c r="B11">
        <v>22</v>
      </c>
      <c r="C11" s="1" t="s">
        <v>6</v>
      </c>
      <c r="D11" s="1">
        <f>B13+1.5*D9</f>
        <v>49.5</v>
      </c>
    </row>
    <row r="12" spans="1:6" x14ac:dyDescent="0.25">
      <c r="A12">
        <v>2011</v>
      </c>
      <c r="B12">
        <v>24</v>
      </c>
    </row>
    <row r="13" spans="1:6" x14ac:dyDescent="0.25">
      <c r="A13">
        <v>2012</v>
      </c>
      <c r="B13">
        <v>27</v>
      </c>
    </row>
    <row r="14" spans="1:6" x14ac:dyDescent="0.25">
      <c r="A14">
        <v>2013</v>
      </c>
      <c r="B14">
        <v>31</v>
      </c>
    </row>
    <row r="15" spans="1:6" x14ac:dyDescent="0.25">
      <c r="A15" s="1">
        <v>2014</v>
      </c>
      <c r="B15" s="1">
        <v>180</v>
      </c>
    </row>
    <row r="16" spans="1:6" x14ac:dyDescent="0.25">
      <c r="A16" s="1">
        <v>2015</v>
      </c>
      <c r="B16" s="1">
        <v>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M3 DURACION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Laura Maria Raigosa Pinzon</cp:lastModifiedBy>
  <dcterms:created xsi:type="dcterms:W3CDTF">2026-08-31T19:58:57Z</dcterms:created>
  <dcterms:modified xsi:type="dcterms:W3CDTF">2026-08-31T20:18:50Z</dcterms:modified>
</cp:coreProperties>
</file>